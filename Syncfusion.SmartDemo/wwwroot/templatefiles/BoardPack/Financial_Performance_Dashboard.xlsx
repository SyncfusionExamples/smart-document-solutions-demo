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Board-pack\document-processing-smart-showcase\Syncfusion.SmartDemo\wwwroot\templatefiles\BoardPack\"/>
    </mc:Choice>
  </mc:AlternateContent>
  <xr:revisionPtr revIDLastSave="0" documentId="13_ncr:1_{1E6B5C99-735B-4E77-B25D-334FF4B8902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ecutive Dashboard" sheetId="1" r:id="rId1"/>
    <sheet name="Financial Detail" sheetId="2" r:id="rId2"/>
  </sheets>
  <definedNames>
    <definedName name="_xlnm.Print_Area" localSheetId="0">'Executive Dashboard'!$A$1:$H$36</definedName>
    <definedName name="_xlnm.Print_Area" localSheetId="1">'Financial Detail'!$A$1:$G$36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F10" i="2" s="1"/>
  <c r="G10" i="2" s="1"/>
  <c r="D9" i="2"/>
  <c r="F9" i="2" s="1"/>
  <c r="G9" i="2" s="1"/>
  <c r="D8" i="2"/>
  <c r="F8" i="2" s="1"/>
  <c r="G8" i="2" s="1"/>
  <c r="D7" i="2"/>
  <c r="F7" i="2" s="1"/>
  <c r="G7" i="2" s="1"/>
  <c r="D6" i="2"/>
  <c r="F6" i="2" s="1"/>
  <c r="G6" i="2" s="1"/>
  <c r="D5" i="2"/>
  <c r="F5" i="2" s="1"/>
  <c r="G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Illustrative management reporting input. Fictional data for Board Pack demo.</t>
        </r>
      </text>
    </comment>
    <comment ref="B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Illustrative management reporting input. Fictional data for Board Pack demo.</t>
        </r>
      </text>
    </comment>
    <comment ref="B7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Illustrative management reporting input. Fictional data for Board Pack demo.</t>
        </r>
      </text>
    </comment>
    <comment ref="B8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Illustrative management reporting input. Fictional data for Board Pack demo.</t>
        </r>
      </text>
    </comment>
    <comment ref="B9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Illustrative management reporting input. Fictional data for Board Pack demo.</t>
        </r>
      </text>
    </comment>
    <comment ref="B10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Illustrative management reporting input. Fictional data for Board Pack demo.</t>
        </r>
      </text>
    </comment>
  </commentList>
</comments>
</file>

<file path=xl/sharedStrings.xml><?xml version="1.0" encoding="utf-8"?>
<sst xmlns="http://schemas.openxmlformats.org/spreadsheetml/2006/main" count="51" uniqueCount="46">
  <si>
    <t>NORTHSTAR CONSUMER GROUP | Q2 FY2026 BOARD DASHBOARD</t>
  </si>
  <si>
    <t>Revenue ($m)</t>
  </si>
  <si>
    <t>EBITDA ($m)</t>
  </si>
  <si>
    <t>Free cash flow ($m)</t>
  </si>
  <si>
    <t>NPS</t>
  </si>
  <si>
    <t>Plan: 46.8</t>
  </si>
  <si>
    <t>Margin: 23.5%</t>
  </si>
  <si>
    <t>Cash conversion: 60.0%</t>
  </si>
  <si>
    <t>QoQ change: 4</t>
  </si>
  <si>
    <t>Quarterly performance</t>
  </si>
  <si>
    <t>Quarter</t>
  </si>
  <si>
    <t>Revenue</t>
  </si>
  <si>
    <t>EBITDA</t>
  </si>
  <si>
    <t>Q3 FY25</t>
  </si>
  <si>
    <t>Q4 FY25</t>
  </si>
  <si>
    <t>Q1 FY26</t>
  </si>
  <si>
    <t>Q2 FY26</t>
  </si>
  <si>
    <t>Board attention</t>
  </si>
  <si>
    <t>Dallas automation</t>
  </si>
  <si>
    <t>Amber</t>
  </si>
  <si>
    <t>Approve $6.0m phase-one investment</t>
  </si>
  <si>
    <t>ERP finance wave</t>
  </si>
  <si>
    <t>Monitor UAT completion and cutover readiness</t>
  </si>
  <si>
    <t>Cyber uplift</t>
  </si>
  <si>
    <t>Green</t>
  </si>
  <si>
    <t>Maintain privileged-access closure target</t>
  </si>
  <si>
    <t>FINANCIAL DETAIL | ACTUAL vs PLAN</t>
  </si>
  <si>
    <t>Metric</t>
  </si>
  <si>
    <t>Q1 Actual</t>
  </si>
  <si>
    <t>Q2 Actual</t>
  </si>
  <si>
    <t>H1 Actual</t>
  </si>
  <si>
    <t>H1 Plan</t>
  </si>
  <si>
    <t>Variance</t>
  </si>
  <si>
    <t>Variance %</t>
  </si>
  <si>
    <t>Cost of sales</t>
  </si>
  <si>
    <t>Gross profit</t>
  </si>
  <si>
    <t>Operating expenses</t>
  </si>
  <si>
    <t>Free cash flow</t>
  </si>
  <si>
    <t>Monthly revenue and EBITDA</t>
  </si>
  <si>
    <t>Month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</si>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</sst>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;[Red]\(\$0.0\);\-"/>
    <numFmt numFmtId="165" formatCode="0.0%;[Red]\(0.0%\);\-"/>
  </numFmts>
  <fonts count="9" x14ac:knownFonts="1">
    <font>
      <sz val="11"/>
      <color theme="1"/>
      <name val="Calibri"/>
      <family val="2"/>
      <scheme val="minor"/>
    </font>
    <font>
      <b/>
      <sz val="20"/>
      <color rgb="FFFFFFFF"/>
      <name val="Aptos Display"/>
    </font>
    <font>
      <b/>
      <sz val="11"/>
      <color rgb="FFFFFFFF"/>
      <name val="Calibri"/>
    </font>
    <font>
      <b/>
      <sz val="22"/>
      <color rgb="FF17324D"/>
      <name val="Calibri"/>
    </font>
    <font>
      <sz val="9"/>
      <color rgb="FF5B6573"/>
      <name val="Calibri"/>
    </font>
    <font>
      <b/>
      <sz val="14"/>
      <color rgb="FF17324D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1"/>
      <color rgb="FF17324D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00A6A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/>
      <right/>
      <top style="thin">
        <color rgb="FF17324D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0" xfId="0" applyFont="1"/>
    <xf numFmtId="0" fontId="0" fillId="4" borderId="0" xfId="0" applyFill="1"/>
    <xf numFmtId="0" fontId="0" fillId="5" borderId="0" xfId="0" applyFill="1"/>
    <xf numFmtId="0" fontId="2" fillId="6" borderId="0" xfId="0" applyFont="1" applyFill="1" applyAlignment="1">
      <alignment horizontal="center"/>
    </xf>
    <xf numFmtId="164" fontId="6" fillId="0" borderId="0" xfId="0" applyNumberFormat="1" applyFont="1"/>
    <xf numFmtId="164" fontId="7" fillId="0" borderId="0" xfId="0" applyNumberFormat="1" applyFont="1"/>
    <xf numFmtId="165" fontId="7" fillId="0" borderId="0" xfId="0" applyNumberFormat="1" applyFont="1"/>
    <xf numFmtId="0" fontId="8" fillId="0" borderId="1" xfId="0" applyFont="1" applyBorder="1"/>
    <xf numFmtId="164" fontId="8" fillId="0" borderId="1" xfId="0" applyNumberFormat="1" applyFont="1" applyBorder="1"/>
    <xf numFmtId="165" fontId="8" fillId="0" borderId="1" xfId="0" applyNumberFormat="1" applyFont="1" applyBorder="1"/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Revenue and EBITDA trend ($m)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'Executive Dashboard'!$B$10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'Executive Dashboard'!$A$11:$A$14</c:f>
              <c:strCache>
                <c:ptCount val="4"/>
                <c:pt idx="0">
                  <c:v>Q3 FY25</c:v>
                </c:pt>
                <c:pt idx="1">
                  <c:v>Q4 FY25</c:v>
                </c:pt>
                <c:pt idx="2">
                  <c:v>Q1 FY26</c:v>
                </c:pt>
                <c:pt idx="3">
                  <c:v>Q2 FY26</c:v>
                </c:pt>
              </c:strCache>
            </c:strRef>
          </c:cat>
          <c:val>
            <c:numRef>
              <c:f>'Executive Dashboard'!$B$11:$B$14</c:f>
              <c:numCache>
                <c:formatCode>General</c:formatCode>
                <c:ptCount val="4"/>
                <c:pt idx="0">
                  <c:v>43.1</c:v>
                </c:pt>
                <c:pt idx="1">
                  <c:v>45.7</c:v>
                </c:pt>
                <c:pt idx="2">
                  <c:v>46.3</c:v>
                </c:pt>
                <c:pt idx="3">
                  <c:v>48.6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75F-4C0F-8832-1248DD178DFB}"/>
            </c:ext>
          </c:extLst>
        </c:ser>
        <c:ser>
          <c:idx val="1"/>
          <c:order val="1"/>
          <c:tx>
            <c:strRef>
              <c:f>'Executive Dashboard'!$C$10</c:f>
              <c:strCache>
                <c:ptCount val="1"/>
                <c:pt idx="0">
                  <c:v>EBITDA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'Executive Dashboard'!$A$11:$A$14</c:f>
              <c:strCache>
                <c:ptCount val="4"/>
                <c:pt idx="0">
                  <c:v>Q3 FY25</c:v>
                </c:pt>
                <c:pt idx="1">
                  <c:v>Q4 FY25</c:v>
                </c:pt>
                <c:pt idx="2">
                  <c:v>Q1 FY26</c:v>
                </c:pt>
                <c:pt idx="3">
                  <c:v>Q2 FY26</c:v>
                </c:pt>
              </c:strCache>
            </c:strRef>
          </c:cat>
          <c:val>
            <c:numRef>
              <c:f>'Executive Dashboard'!$C$11:$C$14</c:f>
              <c:numCache>
                <c:formatCode>General</c:formatCode>
                <c:ptCount val="4"/>
                <c:pt idx="0">
                  <c:v>9.5</c:v>
                </c:pt>
                <c:pt idx="1">
                  <c:v>10.199999999999999</c:v>
                </c:pt>
                <c:pt idx="2">
                  <c:v>10.7</c:v>
                </c:pt>
                <c:pt idx="3">
                  <c:v>11.4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75F-4C0F-8832-1248DD178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$m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operating performance ($m)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'Financial Detail'!$B$14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'Financial Detail'!$A$15:$A$20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'Financial Detail'!$B$15:$B$20</c:f>
              <c:numCache>
                <c:formatCode>General</c:formatCode>
                <c:ptCount val="6"/>
                <c:pt idx="0">
                  <c:v>14.8</c:v>
                </c:pt>
                <c:pt idx="1">
                  <c:v>15.2</c:v>
                </c:pt>
                <c:pt idx="2">
                  <c:v>16.3</c:v>
                </c:pt>
                <c:pt idx="3">
                  <c:v>15.7</c:v>
                </c:pt>
                <c:pt idx="4">
                  <c:v>16.100000000000001</c:v>
                </c:pt>
                <c:pt idx="5">
                  <c:v>16.8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94-4095-B210-1361FE592F31}"/>
            </c:ext>
          </c:extLst>
        </c:ser>
        <c:ser>
          <c:idx val="1"/>
          <c:order val="1"/>
          <c:tx>
            <c:strRef>
              <c:f>'Financial Detail'!$C$14</c:f>
              <c:strCache>
                <c:ptCount val="1"/>
                <c:pt idx="0">
                  <c:v>EBITDA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'Financial Detail'!$A$15:$A$20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'Financial Detail'!$C$15:$C$20</c:f>
              <c:numCache>
                <c:formatCode>General</c:formatCode>
                <c:ptCount val="6"/>
                <c:pt idx="0">
                  <c:v>3.3</c:v>
                </c:pt>
                <c:pt idx="1">
                  <c:v>3.5</c:v>
                </c:pt>
                <c:pt idx="2">
                  <c:v>3.9</c:v>
                </c:pt>
                <c:pt idx="3">
                  <c:v>3.6</c:v>
                </c:pt>
                <c:pt idx="4">
                  <c:v>3.8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94-4095-B210-1361FE592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152400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15240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"/>
  <sheetViews>
    <sheetView showGridLines="0" workbookViewId="0">
      <pane ySplit="9" topLeftCell="A39" activePane="bottomLeft" state="frozen"/>
      <selection pane="bottomLeft" activeCell="M13" sqref="M13"/>
    </sheetView>
  </sheetViews>
  <sheetFormatPr defaultRowHeight="14.4" x14ac:dyDescent="0.3"/>
  <cols>
    <col min="1" max="1" width="22" customWidth="1"/>
    <col min="2" max="4" width="14" customWidth="1"/>
    <col min="5" max="5" width="4" customWidth="1"/>
    <col min="6" max="8" width="15" customWidth="1"/>
  </cols>
  <sheetData>
    <row r="1" spans="1:8" x14ac:dyDescent="0.3">
      <c r="A1" s="12" t="s">
        <v>0</v>
      </c>
      <c r="B1" s="11"/>
      <c r="C1" s="11"/>
      <c r="D1" s="11"/>
      <c r="E1" s="11"/>
      <c r="F1" s="11"/>
      <c r="G1" s="11"/>
      <c r="H1" s="11"/>
    </row>
    <row r="2" spans="1:8" x14ac:dyDescent="0.3">
      <c r="A2" s="11"/>
      <c r="B2" s="11"/>
      <c r="C2" s="11"/>
      <c r="D2" s="11"/>
      <c r="E2" s="11"/>
      <c r="F2" s="11"/>
      <c r="G2" s="11"/>
      <c r="H2" s="11"/>
    </row>
    <row r="4" spans="1:8" x14ac:dyDescent="0.3">
      <c r="A4" s="13" t="s">
        <v>1</v>
      </c>
      <c r="B4" s="11"/>
      <c r="C4" s="13" t="s">
        <v>2</v>
      </c>
      <c r="D4" s="11"/>
      <c r="E4" s="13" t="s">
        <v>3</v>
      </c>
      <c r="F4" s="11"/>
      <c r="G4" s="13" t="s">
        <v>4</v>
      </c>
      <c r="H4" s="11"/>
    </row>
    <row r="5" spans="1:8" x14ac:dyDescent="0.3">
      <c r="A5" s="15">
        <v>48.6</v>
      </c>
      <c r="B5" s="11"/>
      <c r="C5" s="15">
        <v>11.4</v>
      </c>
      <c r="D5" s="11"/>
      <c r="E5" s="15">
        <v>6.8</v>
      </c>
      <c r="F5" s="11"/>
      <c r="G5" s="15">
        <v>58</v>
      </c>
      <c r="H5" s="11"/>
    </row>
    <row r="6" spans="1:8" x14ac:dyDescent="0.3">
      <c r="A6" s="11"/>
      <c r="B6" s="11"/>
      <c r="C6" s="11"/>
      <c r="D6" s="11"/>
      <c r="E6" s="11"/>
      <c r="F6" s="11"/>
      <c r="G6" s="11"/>
      <c r="H6" s="11"/>
    </row>
    <row r="7" spans="1:8" x14ac:dyDescent="0.3">
      <c r="A7" s="14" t="s">
        <v>5</v>
      </c>
      <c r="B7" s="11"/>
      <c r="C7" s="14" t="s">
        <v>6</v>
      </c>
      <c r="D7" s="11"/>
      <c r="E7" s="14" t="s">
        <v>7</v>
      </c>
      <c r="F7" s="11"/>
      <c r="G7" s="14" t="s">
        <v>8</v>
      </c>
      <c r="H7" s="11"/>
    </row>
    <row r="9" spans="1:8" ht="18" x14ac:dyDescent="0.35">
      <c r="A9" s="1" t="s">
        <v>9</v>
      </c>
    </row>
    <row r="10" spans="1:8" x14ac:dyDescent="0.3">
      <c r="A10" t="s">
        <v>10</v>
      </c>
      <c r="B10" t="s">
        <v>11</v>
      </c>
      <c r="C10" t="s">
        <v>12</v>
      </c>
    </row>
    <row r="11" spans="1:8" x14ac:dyDescent="0.3">
      <c r="A11" t="s">
        <v>13</v>
      </c>
      <c r="B11">
        <v>43.1</v>
      </c>
      <c r="C11">
        <v>9.5</v>
      </c>
    </row>
    <row r="12" spans="1:8" x14ac:dyDescent="0.3">
      <c r="A12" t="s">
        <v>14</v>
      </c>
      <c r="B12">
        <v>45.7</v>
      </c>
      <c r="C12">
        <v>10.199999999999999</v>
      </c>
    </row>
    <row r="13" spans="1:8" x14ac:dyDescent="0.3">
      <c r="A13" t="s">
        <v>15</v>
      </c>
      <c r="B13">
        <v>46.3</v>
      </c>
      <c r="C13">
        <v>10.7</v>
      </c>
    </row>
    <row r="14" spans="1:8" x14ac:dyDescent="0.3">
      <c r="A14" t="s">
        <v>16</v>
      </c>
      <c r="B14">
        <v>48.6</v>
      </c>
      <c r="C14">
        <v>11.4</v>
      </c>
    </row>
    <row r="17" spans="1:8" ht="18" x14ac:dyDescent="0.35">
      <c r="A17" s="1" t="s">
        <v>17</v>
      </c>
    </row>
    <row r="18" spans="1:8" x14ac:dyDescent="0.3">
      <c r="A18" t="s">
        <v>18</v>
      </c>
      <c r="B18" s="2" t="s">
        <v>19</v>
      </c>
      <c r="C18" s="11" t="s">
        <v>20</v>
      </c>
      <c r="D18" s="11"/>
      <c r="E18" s="11"/>
      <c r="F18" s="11"/>
      <c r="G18" s="11"/>
      <c r="H18" s="11"/>
    </row>
    <row r="19" spans="1:8" x14ac:dyDescent="0.3">
      <c r="A19" t="s">
        <v>21</v>
      </c>
      <c r="B19" s="2" t="s">
        <v>19</v>
      </c>
      <c r="C19" s="11" t="s">
        <v>22</v>
      </c>
      <c r="D19" s="11"/>
      <c r="E19" s="11"/>
      <c r="F19" s="11"/>
      <c r="G19" s="11"/>
      <c r="H19" s="11"/>
    </row>
    <row r="20" spans="1:8" x14ac:dyDescent="0.3">
      <c r="A20" t="s">
        <v>23</v>
      </c>
      <c r="B20" s="3" t="s">
        <v>24</v>
      </c>
      <c r="C20" s="11" t="s">
        <v>25</v>
      </c>
      <c r="D20" s="11"/>
      <c r="E20" s="11"/>
      <c r="F20" s="11"/>
      <c r="G20" s="11"/>
      <c r="H20" s="11"/>
    </row>
  </sheetData>
  <mergeCells count="16">
    <mergeCell ref="C20:H20"/>
    <mergeCell ref="A1:H2"/>
    <mergeCell ref="C4:D4"/>
    <mergeCell ref="A4:B4"/>
    <mergeCell ref="G4:H4"/>
    <mergeCell ref="E4:F4"/>
    <mergeCell ref="C19:H19"/>
    <mergeCell ref="C7:D7"/>
    <mergeCell ref="A7:B7"/>
    <mergeCell ref="G7:H7"/>
    <mergeCell ref="E7:F7"/>
    <mergeCell ref="C5:D6"/>
    <mergeCell ref="A5:B6"/>
    <mergeCell ref="G5:H6"/>
    <mergeCell ref="E5:F6"/>
    <mergeCell ref="C18:H18"/>
  </mergeCells>
  <pageMargins left="0.75" right="0.75" top="1" bottom="1" header="0.5" footer="0.5"/>
  <pageSetup scale="78" orientation="portrait" r:id="rId1"/>
  <headerFooter>
    <oddFooter>&amp;CConfidential | Fictional data for demonstration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0"/>
  <sheetViews>
    <sheetView showGridLines="0" tabSelected="1" workbookViewId="0">
      <selection sqref="A1:G36"/>
    </sheetView>
  </sheetViews>
  <sheetFormatPr defaultRowHeight="14.4" x14ac:dyDescent="0.3"/>
  <cols>
    <col min="1" max="1" width="26" customWidth="1"/>
    <col min="2" max="7" width="15" customWidth="1"/>
  </cols>
  <sheetData>
    <row r="1" spans="1:7" x14ac:dyDescent="0.3">
      <c r="A1" s="12" t="s">
        <v>26</v>
      </c>
      <c r="B1" s="11"/>
      <c r="C1" s="11"/>
      <c r="D1" s="11"/>
      <c r="E1" s="11"/>
      <c r="F1" s="11"/>
      <c r="G1" s="11"/>
    </row>
    <row r="2" spans="1:7" x14ac:dyDescent="0.3">
      <c r="A2" s="11"/>
      <c r="B2" s="11"/>
      <c r="C2" s="11"/>
      <c r="D2" s="11"/>
      <c r="E2" s="11"/>
      <c r="F2" s="11"/>
      <c r="G2" s="11"/>
    </row>
    <row r="4" spans="1:7" x14ac:dyDescent="0.3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</row>
    <row r="5" spans="1:7" x14ac:dyDescent="0.3">
      <c r="A5" t="s">
        <v>11</v>
      </c>
      <c r="B5" s="5">
        <v>46.3</v>
      </c>
      <c r="C5" s="5">
        <v>48.6</v>
      </c>
      <c r="D5" s="6">
        <f t="shared" ref="D5:D10" si="0">SUM(B5:C5)</f>
        <v>94.9</v>
      </c>
      <c r="E5" s="5">
        <v>93.1</v>
      </c>
      <c r="F5" s="6">
        <f t="shared" ref="F5:F10" si="1">D5-E5</f>
        <v>1.8000000000000114</v>
      </c>
      <c r="G5" s="7">
        <f t="shared" ref="G5:G10" si="2">IFERROR(F5/E5,0)</f>
        <v>1.9334049409237504E-2</v>
      </c>
    </row>
    <row r="6" spans="1:7" x14ac:dyDescent="0.3">
      <c r="A6" t="s">
        <v>34</v>
      </c>
      <c r="B6" s="5">
        <v>28.2</v>
      </c>
      <c r="C6" s="5">
        <v>29.9</v>
      </c>
      <c r="D6" s="6">
        <f t="shared" si="0"/>
        <v>58.099999999999994</v>
      </c>
      <c r="E6" s="5">
        <v>57.5</v>
      </c>
      <c r="F6" s="6">
        <f t="shared" si="1"/>
        <v>0.59999999999999432</v>
      </c>
      <c r="G6" s="7">
        <f t="shared" si="2"/>
        <v>1.0434782608695554E-2</v>
      </c>
    </row>
    <row r="7" spans="1:7" x14ac:dyDescent="0.3">
      <c r="A7" s="8" t="s">
        <v>35</v>
      </c>
      <c r="B7" s="9">
        <v>18.100000000000001</v>
      </c>
      <c r="C7" s="9">
        <v>18.7</v>
      </c>
      <c r="D7" s="9">
        <f t="shared" si="0"/>
        <v>36.799999999999997</v>
      </c>
      <c r="E7" s="9">
        <v>35.6</v>
      </c>
      <c r="F7" s="9">
        <f t="shared" si="1"/>
        <v>1.1999999999999957</v>
      </c>
      <c r="G7" s="10">
        <f t="shared" si="2"/>
        <v>3.3707865168539207E-2</v>
      </c>
    </row>
    <row r="8" spans="1:7" x14ac:dyDescent="0.3">
      <c r="A8" t="s">
        <v>36</v>
      </c>
      <c r="B8" s="5">
        <v>7.4</v>
      </c>
      <c r="C8" s="5">
        <v>7.3</v>
      </c>
      <c r="D8" s="6">
        <f t="shared" si="0"/>
        <v>14.7</v>
      </c>
      <c r="E8" s="5">
        <v>15.1</v>
      </c>
      <c r="F8" s="6">
        <f t="shared" si="1"/>
        <v>-0.40000000000000036</v>
      </c>
      <c r="G8" s="7">
        <f t="shared" si="2"/>
        <v>-2.6490066225165587E-2</v>
      </c>
    </row>
    <row r="9" spans="1:7" x14ac:dyDescent="0.3">
      <c r="A9" s="8" t="s">
        <v>12</v>
      </c>
      <c r="B9" s="9">
        <v>10.7</v>
      </c>
      <c r="C9" s="9">
        <v>11.4</v>
      </c>
      <c r="D9" s="9">
        <f t="shared" si="0"/>
        <v>22.1</v>
      </c>
      <c r="E9" s="9">
        <v>20.5</v>
      </c>
      <c r="F9" s="9">
        <f t="shared" si="1"/>
        <v>1.6000000000000014</v>
      </c>
      <c r="G9" s="10">
        <f t="shared" si="2"/>
        <v>7.8048780487804947E-2</v>
      </c>
    </row>
    <row r="10" spans="1:7" x14ac:dyDescent="0.3">
      <c r="A10" t="s">
        <v>37</v>
      </c>
      <c r="B10" s="5">
        <v>5.8</v>
      </c>
      <c r="C10" s="5">
        <v>6.8</v>
      </c>
      <c r="D10" s="6">
        <f t="shared" si="0"/>
        <v>12.6</v>
      </c>
      <c r="E10" s="5">
        <v>11.7</v>
      </c>
      <c r="F10" s="6">
        <f t="shared" si="1"/>
        <v>0.90000000000000036</v>
      </c>
      <c r="G10" s="7">
        <f t="shared" si="2"/>
        <v>7.6923076923076955E-2</v>
      </c>
    </row>
    <row r="13" spans="1:7" ht="18" x14ac:dyDescent="0.35">
      <c r="A13" s="1" t="s">
        <v>38</v>
      </c>
    </row>
    <row r="14" spans="1:7" x14ac:dyDescent="0.3">
      <c r="A14" t="s">
        <v>39</v>
      </c>
      <c r="B14" t="s">
        <v>11</v>
      </c>
      <c r="C14" t="s">
        <v>12</v>
      </c>
    </row>
    <row r="15" spans="1:7" x14ac:dyDescent="0.3">
      <c r="A15" t="s">
        <v>40</v>
      </c>
      <c r="B15">
        <v>14.8</v>
      </c>
      <c r="C15">
        <v>3.3</v>
      </c>
    </row>
    <row r="16" spans="1:7" x14ac:dyDescent="0.3">
      <c r="A16" t="s">
        <v>41</v>
      </c>
      <c r="B16">
        <v>15.2</v>
      </c>
      <c r="C16">
        <v>3.5</v>
      </c>
    </row>
    <row r="17" spans="1:3" x14ac:dyDescent="0.3">
      <c r="A17" t="s">
        <v>42</v>
      </c>
      <c r="B17">
        <v>16.3</v>
      </c>
      <c r="C17">
        <v>3.9</v>
      </c>
    </row>
    <row r="18" spans="1:3" x14ac:dyDescent="0.3">
      <c r="A18" t="s">
        <v>43</v>
      </c>
      <c r="B18">
        <v>15.7</v>
      </c>
      <c r="C18">
        <v>3.6</v>
      </c>
    </row>
    <row r="19" spans="1:3" x14ac:dyDescent="0.3">
      <c r="A19" t="s">
        <v>44</v>
      </c>
      <c r="B19">
        <v>16.100000000000001</v>
      </c>
      <c r="C19">
        <v>3.8</v>
      </c>
    </row>
    <row r="20" spans="1:3" x14ac:dyDescent="0.3">
      <c r="A20" t="s">
        <v>45</v>
      </c>
      <c r="B20">
        <v>16.8</v>
      </c>
      <c r="C20">
        <v>4</v>
      </c>
    </row>
  </sheetData>
  <mergeCells count="1">
    <mergeCell ref="A1:G2"/>
  </mergeCells>
  <pageMargins left="0.75" right="0.75" top="1" bottom="1" header="0.5" footer="0.5"/>
  <pageSetup scale="76" orientation="portrait" r:id="rId1"/>
  <headerFooter>
    <oddFooter>&amp;CConfidential | Fictional data for demonstration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Executive Dashboard</vt:lpstr>
      <vt:lpstr>Financial Detail</vt:lpstr>
      <vt:lpstr>'Executive Dashboard'!Print_Area</vt:lpstr>
      <vt:lpstr>'Financial Detail'!Print_Area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Venkateshwaran Krishnamoorthy</dc:creator>
  <cp:keywords/>
  <dc:description/>
  <cp:lastModifiedBy>Venkateshwaran Krishnamoorthy</cp:lastModifiedBy>
  <cp:revision/>
  <cp:lastPrinted>2026-09-01T06:16:17Z</cp:lastPrinted>
  <dcterms:created xsi:type="dcterms:W3CDTF">2026-08-31T06:06:04Z</dcterms:created>
  <dcterms:modified xsi:type="dcterms:W3CDTF">2026-09-01T06:17:55Z</dcterms:modified>
  <cp:category/>
  <cp:contentStatus/>
</cp:coreProperties>
</file>